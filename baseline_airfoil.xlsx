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<sst xmlns="http://schemas.openxmlformats.org/spreadsheetml/2006/main" count="11" uniqueCount="11">
  <si>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Fx</t>
  </si>
  <si>
    <t>Fy</t>
  </si>
  <si>
    <t>alpha</t>
  </si>
  <si>
    <t>Cpx</t>
  </si>
  <si>
    <t>Cfx</t>
  </si>
  <si>
    <t>Cpy</t>
  </si>
  <si>
    <t>Cfy</t>
  </si>
  <si>
    <t>Cl</t>
  </si>
  <si>
    <t>Cdp</t>
  </si>
  <si>
    <t>Cdf</t>
  </si>
  <si>
    <t>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</si>
</sst>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7"/>
  <sheetViews>
    <sheetView tabSelected="1" workbookViewId="0">
      <selection activeCell="F27" sqref="F27"/>
    </sheetView>
  </sheetViews>
  <sheetFormatPr defaultColWidth="9" defaultRowHeight="13.5"/>
  <cols>
    <col min="2" max="2" width="18.375" customWidth="1"/>
    <col min="3" max="3" width="14.5" customWidth="1"/>
    <col min="4" max="4" width="12.625"/>
    <col min="5" max="6" width="13.75"/>
    <col min="7" max="9" width="12.625"/>
  </cols>
  <sheetData>
    <row r="1" spans="1:32">
      <c r="B1" s="1" t="s">
        <v>0</v>
      </c>
      <c r="D1" s="1" t="s">
        <v>1</v>
      </c>
      <c r="E1" s="1"/>
    </row>
    <row r="2" spans="1:3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</row>
    <row r="3" spans="1:32">
      <c r="A3">
        <v>-6</v>
      </c>
      <c r="B3" s="2">
        <v>-0.0048037871</v>
      </c>
      <c r="C3">
        <v>0.0096083073</v>
      </c>
      <c r="D3" s="2">
        <f>-0.13073934</f>
        <v>-0.13073934</v>
      </c>
      <c r="E3">
        <v>-0.00099313377</v>
      </c>
      <c r="F3" s="2">
        <f>(B3+C3)*SIN(A3/180*3.14)+(D3+E3)*COS(A3/180*3.14)</f>
        <v>-0.131513515772945</v>
      </c>
      <c r="G3">
        <f>B3*COS(A3/180*3.14)+D3*SIN(A3/180*3.14)</f>
        <v>0.00888158145007547</v>
      </c>
      <c r="H3">
        <f>C3*COS(A3/180*3.14)+E3*SIN(A3/180*3.14)</f>
        <v>0.00965948360429548</v>
      </c>
      <c r="I3" s="2">
        <v>0.081003816</v>
      </c>
    </row>
    <row r="4" spans="1:32">
      <c r="A4">
        <v>-5</v>
      </c>
      <c r="B4" s="2">
        <v>0.0047569295</v>
      </c>
      <c r="C4">
        <v>0.0098173591</v>
      </c>
      <c r="D4" s="2">
        <f>-0.04123138</f>
        <v>-0.04123138</v>
      </c>
      <c r="E4" s="2">
        <v>-0.00072662696</v>
      </c>
      <c r="F4" s="2">
        <f t="shared" ref="F4:F17" si="0">(B4+C4)*SIN(A4/180*3.14)+(D4+E4)*COS(A4/180*3.14)</f>
        <v>-0.0430680964451836</v>
      </c>
      <c r="G4">
        <f t="shared" ref="G4:G17" si="1">B4*COS(A4/180*3.14)+D4*SIN(A4/180*3.14)</f>
        <v>0.00833058067854073</v>
      </c>
      <c r="H4">
        <f t="shared" ref="H4:H17" si="2">C4*COS(A4/180*3.14)+E4*SIN(A4/180*3.14)</f>
        <v>0.00984333661732674</v>
      </c>
      <c r="I4" s="2">
        <v>0.10050557</v>
      </c>
    </row>
    <row r="5" spans="1:32">
      <c r="A5">
        <v>-4</v>
      </c>
      <c r="B5" s="2">
        <v>0.011557156</v>
      </c>
      <c r="C5">
        <v>0.0099887893</v>
      </c>
      <c r="D5" s="2">
        <v>0.050271737</v>
      </c>
      <c r="E5" s="2">
        <v>-0.00046288884</v>
      </c>
      <c r="F5" s="2">
        <f t="shared" si="0"/>
        <v>0.0481854307847049</v>
      </c>
      <c r="G5">
        <f t="shared" si="1"/>
        <v>0.00802402767287887</v>
      </c>
      <c r="H5">
        <f t="shared" si="2"/>
        <v>0.00999675491620309</v>
      </c>
      <c r="I5" s="2">
        <v>0.12078287</v>
      </c>
    </row>
    <row r="6" spans="1:32">
      <c r="A6">
        <v>-3</v>
      </c>
      <c r="B6" s="2">
        <v>0.015445513</v>
      </c>
      <c r="C6">
        <v>0.010141001</v>
      </c>
      <c r="D6" s="2">
        <v>0.14252168</v>
      </c>
      <c r="E6" s="3">
        <v>-0.00019878516</v>
      </c>
      <c r="F6" s="2">
        <f t="shared" si="0"/>
        <v>0.140789627493171</v>
      </c>
      <c r="G6">
        <f t="shared" si="1"/>
        <v>0.00796913645056433</v>
      </c>
      <c r="H6">
        <f t="shared" si="2"/>
        <v>0.0101375155371287</v>
      </c>
      <c r="I6" s="2">
        <v>0.14139953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>
      <c r="A7">
        <v>-2</v>
      </c>
      <c r="B7">
        <v>0.016363314</v>
      </c>
      <c r="C7">
        <v>0.01026176</v>
      </c>
      <c r="D7" s="2">
        <v>0.23544428</v>
      </c>
      <c r="E7" s="3">
        <v>5.9928809e-5</v>
      </c>
      <c r="F7" s="2">
        <f t="shared" si="0"/>
        <v>0.234432160607724</v>
      </c>
      <c r="G7">
        <f t="shared" si="1"/>
        <v>0.00814063306167944</v>
      </c>
      <c r="H7">
        <f t="shared" si="2"/>
        <v>0.0102534247235843</v>
      </c>
      <c r="I7" s="2">
        <v>0.16238707</v>
      </c>
    </row>
    <row r="8" spans="1:32">
      <c r="A8">
        <v>-1</v>
      </c>
      <c r="B8" s="2">
        <v>0.014286916</v>
      </c>
      <c r="C8">
        <v>0.010360127</v>
      </c>
      <c r="D8" s="2">
        <v>0.32720988</v>
      </c>
      <c r="E8" s="2">
        <v>0.00031835958</v>
      </c>
      <c r="F8" s="2">
        <f t="shared" si="0"/>
        <v>0.32704847384064</v>
      </c>
      <c r="G8">
        <f t="shared" si="1"/>
        <v>0.00857703716006372</v>
      </c>
      <c r="H8">
        <f t="shared" si="2"/>
        <v>0.0103529973775424</v>
      </c>
      <c r="I8" s="2">
        <v>0.18304553</v>
      </c>
    </row>
    <row r="9" spans="1:32">
      <c r="A9">
        <v>0</v>
      </c>
      <c r="B9" s="2">
        <v>0.0092507895</v>
      </c>
      <c r="C9">
        <v>0.010418984</v>
      </c>
      <c r="D9" s="2">
        <v>0.41844378</v>
      </c>
      <c r="E9" s="2">
        <v>0.00057241456</v>
      </c>
      <c r="F9" s="2">
        <f t="shared" si="0"/>
        <v>0.41901619456</v>
      </c>
      <c r="G9">
        <f t="shared" si="1"/>
        <v>0.0092507895</v>
      </c>
      <c r="H9">
        <f t="shared" si="2"/>
        <v>0.010418984</v>
      </c>
      <c r="I9" s="2">
        <v>0.20370111</v>
      </c>
    </row>
    <row r="10" spans="1:32">
      <c r="A10">
        <v>1</v>
      </c>
      <c r="B10" s="2">
        <v>0.0013553282</v>
      </c>
      <c r="C10">
        <v>0.010470168</v>
      </c>
      <c r="D10" s="2">
        <v>0.50730442</v>
      </c>
      <c r="E10" s="2">
        <v>0.0008234572</v>
      </c>
      <c r="F10" s="2">
        <f t="shared" si="0"/>
        <v>0.508256844057506</v>
      </c>
      <c r="G10">
        <f t="shared" si="1"/>
        <v>0.0102043169269481</v>
      </c>
      <c r="H10">
        <f t="shared" si="2"/>
        <v>0.0104829389839317</v>
      </c>
      <c r="I10" s="2">
        <v>0.22366512</v>
      </c>
    </row>
    <row r="11" spans="1:32">
      <c r="A11">
        <v>2</v>
      </c>
      <c r="B11" s="2">
        <v>-0.0092554491</v>
      </c>
      <c r="C11">
        <v>0.01047975</v>
      </c>
      <c r="D11" s="2">
        <v>0.59360658</v>
      </c>
      <c r="E11" s="2">
        <v>0.0010725539</v>
      </c>
      <c r="F11" s="2">
        <f t="shared" si="0"/>
        <v>0.594359944445226</v>
      </c>
      <c r="G11">
        <f t="shared" si="1"/>
        <v>0.0114562560803891</v>
      </c>
      <c r="H11">
        <f t="shared" si="2"/>
        <v>0.0105107851127452</v>
      </c>
      <c r="I11" s="2">
        <v>0.24294164</v>
      </c>
    </row>
    <row r="12" ht="12" customHeight="1" spans="1:32">
      <c r="A12">
        <v>3</v>
      </c>
      <c r="B12" s="2">
        <v>-0.022394464</v>
      </c>
      <c r="C12">
        <v>0.010462704</v>
      </c>
      <c r="D12" s="2">
        <v>0.67660795</v>
      </c>
      <c r="E12" s="2">
        <v>0.0013164504</v>
      </c>
      <c r="F12" s="2">
        <f t="shared" si="0"/>
        <v>0.676372126332392</v>
      </c>
      <c r="G12">
        <f t="shared" si="1"/>
        <v>0.0130291843629839</v>
      </c>
      <c r="H12">
        <f t="shared" si="2"/>
        <v>0.0105172425533234</v>
      </c>
      <c r="I12" s="2">
        <v>0.26135592</v>
      </c>
    </row>
    <row r="13" spans="1:32">
      <c r="A13">
        <v>4</v>
      </c>
      <c r="B13">
        <v>-0.03785754</v>
      </c>
      <c r="C13">
        <v>0.010414706</v>
      </c>
      <c r="D13" s="2">
        <v>0.75609359</v>
      </c>
      <c r="E13" s="2">
        <v>0.00155421</v>
      </c>
      <c r="F13" s="2">
        <f t="shared" si="0"/>
        <v>0.753890731648859</v>
      </c>
      <c r="G13">
        <f t="shared" si="1"/>
        <v>0.0149503135430762</v>
      </c>
      <c r="H13">
        <f t="shared" si="2"/>
        <v>0.0104977233412986</v>
      </c>
      <c r="I13" s="2">
        <v>0.27870807</v>
      </c>
    </row>
    <row r="14" spans="1:32">
      <c r="A14">
        <v>5</v>
      </c>
      <c r="B14" s="2">
        <v>-0.055327836</v>
      </c>
      <c r="C14">
        <v>0.010339779</v>
      </c>
      <c r="D14" s="2">
        <v>0.8310563</v>
      </c>
      <c r="E14" s="2">
        <v>0.001787361</v>
      </c>
      <c r="F14" s="2">
        <f t="shared" si="0"/>
        <v>0.82575866509285</v>
      </c>
      <c r="G14">
        <f t="shared" si="1"/>
        <v>0.0172771925235947</v>
      </c>
      <c r="H14">
        <f t="shared" si="2"/>
        <v>0.0104561728800448</v>
      </c>
      <c r="I14" s="2">
        <v>0.29492017</v>
      </c>
    </row>
    <row r="15" spans="1:32">
      <c r="A15">
        <v>6</v>
      </c>
      <c r="B15" s="2">
        <v>-0.074478107</v>
      </c>
      <c r="C15">
        <v>0.010235665</v>
      </c>
      <c r="D15" s="2">
        <v>0.90094212</v>
      </c>
      <c r="E15" s="2">
        <v>0.0020141653</v>
      </c>
      <c r="F15" s="2">
        <f t="shared" si="0"/>
        <v>0.89130303387918</v>
      </c>
      <c r="G15">
        <f t="shared" si="1"/>
        <v>0.0200560062256436</v>
      </c>
      <c r="H15">
        <f t="shared" si="2"/>
        <v>0.0103900810022462</v>
      </c>
      <c r="I15" s="2">
        <v>0.30972478</v>
      </c>
    </row>
    <row r="16" spans="1:32">
      <c r="A16">
        <v>7</v>
      </c>
      <c r="B16" s="2">
        <v>-0.094925962</v>
      </c>
      <c r="C16">
        <v>0.010101146</v>
      </c>
      <c r="D16" s="2">
        <v>0.96513602</v>
      </c>
      <c r="E16">
        <v>0.0022332764</v>
      </c>
      <c r="F16" s="2">
        <f t="shared" si="0"/>
        <v>0.949833642361681</v>
      </c>
      <c r="G16">
        <f t="shared" si="1"/>
        <v>0.0233420466139172</v>
      </c>
      <c r="H16">
        <f t="shared" si="2"/>
        <v>0.0102979604529716</v>
      </c>
      <c r="I16" s="2">
        <v>0.32306202</v>
      </c>
    </row>
    <row r="17" spans="1:9">
      <c r="A17">
        <v>8</v>
      </c>
      <c r="B17" s="2">
        <v>-0.11617492</v>
      </c>
      <c r="C17">
        <v>0.0099381841</v>
      </c>
      <c r="D17" s="2">
        <v>1.0227611</v>
      </c>
      <c r="E17">
        <v>0.0024436274</v>
      </c>
      <c r="F17" s="2">
        <f t="shared" si="0"/>
        <v>1.00045975334407</v>
      </c>
      <c r="G17">
        <f t="shared" si="1"/>
        <v>0.0272236844308361</v>
      </c>
      <c r="H17">
        <f t="shared" si="2"/>
        <v>0.0101814801691537</v>
      </c>
      <c r="I17" s="2">
        <v>0.33470032</v>
      </c>
    </row>
  </sheetData>
  <mergeCells count="2">
    <mergeCell ref="B1:C1"/>
    <mergeCell ref="D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吕心瑜</dc:creator>
  <cp:lastModifiedBy>吕心瑜</cp:lastModifiedBy>
  <dcterms:created xsi:type="dcterms:W3CDTF">2023-05-12T11:15:00Z</dcterms:created>
  <dcterms:modified xsi:type="dcterms:W3CDTF">2026-06-29T06:13:24Z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17BD932B55C443378E9AE685ADB8F1BD_12</vt:lpwstr>
  </property>
  <property fmtid="{D5CDD505-2E9C-101B-9397-08002B2CF9AE}" pid="4" name="CalculationRule">
    <vt:i4>0</vt:i4>
  </property>
</Properties>
</file>